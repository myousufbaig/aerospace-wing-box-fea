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<sst xmlns="http://schemas.openxmlformats.org/spreadsheetml/2006/main" count="47" uniqueCount="38">
  <si>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Lift</t>
  </si>
  <si>
    <t>Drag</t>
  </si>
  <si>
    <t>Angle</t>
  </si>
  <si>
    <t>Up</t>
  </si>
  <si>
    <t>Air Speed</t>
  </si>
  <si>
    <t>m/s</t>
  </si>
  <si>
    <t>Down</t>
  </si>
  <si>
    <t>Density</t>
  </si>
  <si>
    <t>kg/m3 (air)</t>
  </si>
  <si>
    <t>Y-Strength 2024</t>
  </si>
  <si>
    <t>Pa</t>
  </si>
  <si>
    <t>Area</t>
  </si>
  <si>
    <t>Y-M</t>
  </si>
  <si>
    <t>Chord</t>
  </si>
  <si>
    <t>P-R</t>
  </si>
  <si>
    <t>Span</t>
  </si>
  <si>
    <t>kg/m3 (2024)</t>
  </si>
  <si>
    <t>Dynamic P:</t>
  </si>
  <si>
    <t>Kpa</t>
  </si>
  <si>
    <t>YS 7075</t>
  </si>
  <si>
    <t>pa</t>
  </si>
  <si>
    <t>Lift Force Up:</t>
  </si>
  <si>
    <t>KN</t>
  </si>
  <si>
    <t>&lt;- Highest</t>
  </si>
  <si>
    <t>YS TI</t>
  </si>
  <si>
    <t>Drag Force Up:</t>
  </si>
  <si>
    <t>Lift Force Down:</t>
  </si>
  <si>
    <t>Drag Force Down:</t>
  </si>
  <si>
    <t>Material</t>
  </si>
  <si>
    <t>Thickness</t>
  </si>
  <si>
    <t>Volume</t>
  </si>
  <si>
    <t>Cost per kg</t>
  </si>
  <si>
    <t>Weight</t>
  </si>
  <si>
    <t>Total Cost</t>
  </si>
  <si>
    <t>C/W ratio</t>
  </si>
  <si>
    <t>Str/W ratio</t>
  </si>
  <si>
    <t>m</t>
  </si>
  <si>
    <t>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</si>
</sst>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0" xfId="0" applyFont="1"/>
    <xf numFmtId="11" fontId="0" fillId="0" borderId="0" xfId="0" applyNumberForma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B2" sqref="B2"/>
    </sheetView>
  </sheetViews>
  <sheetFormatPr defaultColWidth="9" defaultRowHeight="15"/>
  <cols>
    <col min="1" max="1" width="16.8857142857143" customWidth="1"/>
    <col min="2" max="2" width="13.2190476190476" customWidth="1"/>
    <col min="4" max="4" width="11.4380952380952" customWidth="1"/>
    <col min="6" max="6" width="14.4380952380952" customWidth="1"/>
    <col min="7" max="7" width="26.7809523809524" customWidth="1"/>
    <col min="8" max="8" width="11" customWidth="1"/>
    <col min="9" max="9" width="11.3333333333333" customWidth="1"/>
    <col min="10" max="10" width="14.552380952381" customWidth="1"/>
  </cols>
  <sheetData>
    <row r="1" spans="1:4">
      <c r="A1" s="2"/>
      <c r="B1" s="3" t="s">
        <v>0</v>
      </c>
      <c r="C1" s="3" t="s">
        <v>1</v>
      </c>
      <c r="D1" s="3" t="s">
        <v>2</v>
      </c>
    </row>
    <row r="2" spans="1:8">
      <c r="A2" s="4" t="s">
        <v>3</v>
      </c>
      <c r="B2" s="5">
        <v>0.84</v>
      </c>
      <c r="C2" s="5">
        <v>0.05</v>
      </c>
      <c r="D2" s="5">
        <v>8</v>
      </c>
      <c r="F2" s="6" t="s">
        <v>4</v>
      </c>
      <c r="G2" s="2">
        <v>100</v>
      </c>
      <c r="H2" s="2" t="s">
        <v>5</v>
      </c>
    </row>
    <row r="3" spans="1:8">
      <c r="A3" s="4" t="s">
        <v>6</v>
      </c>
      <c r="B3" s="5">
        <v>-0.3</v>
      </c>
      <c r="C3" s="5">
        <v>0.02</v>
      </c>
      <c r="D3" s="5">
        <v>-3</v>
      </c>
      <c r="F3" s="6" t="s">
        <v>7</v>
      </c>
      <c r="G3" s="2">
        <v>1.225</v>
      </c>
      <c r="H3" s="2" t="s">
        <v>8</v>
      </c>
    </row>
    <row r="4" spans="1:8">
      <c r="A4" s="7"/>
      <c r="F4" s="8" t="s">
        <v>9</v>
      </c>
      <c r="G4">
        <v>345000000</v>
      </c>
      <c r="H4" t="s">
        <v>10</v>
      </c>
    </row>
    <row r="5" spans="1:8">
      <c r="A5" s="4" t="s">
        <v>11</v>
      </c>
      <c r="B5" s="2">
        <v>56.95</v>
      </c>
      <c r="F5" s="8" t="s">
        <v>12</v>
      </c>
      <c r="G5" s="9">
        <v>74000000000</v>
      </c>
      <c r="H5" t="s">
        <v>10</v>
      </c>
    </row>
    <row r="6" spans="1:7">
      <c r="A6" s="4" t="s">
        <v>13</v>
      </c>
      <c r="B6" s="2">
        <v>4.87</v>
      </c>
      <c r="F6" s="8" t="s">
        <v>14</v>
      </c>
      <c r="G6">
        <v>0.33</v>
      </c>
    </row>
    <row r="7" spans="1:8">
      <c r="A7" s="4" t="s">
        <v>15</v>
      </c>
      <c r="B7" s="2">
        <v>10.92</v>
      </c>
      <c r="F7" s="8" t="s">
        <v>7</v>
      </c>
      <c r="G7">
        <v>2780</v>
      </c>
      <c r="H7" t="s">
        <v>16</v>
      </c>
    </row>
    <row r="9" spans="1:8">
      <c r="A9" s="4" t="s">
        <v>17</v>
      </c>
      <c r="B9" s="2">
        <v>31184.5</v>
      </c>
      <c r="C9" s="2" t="s">
        <v>18</v>
      </c>
      <c r="F9" s="8" t="s">
        <v>19</v>
      </c>
      <c r="G9">
        <v>503000000</v>
      </c>
      <c r="H9" t="s">
        <v>20</v>
      </c>
    </row>
    <row r="10" spans="1:8">
      <c r="A10" s="4" t="s">
        <v>21</v>
      </c>
      <c r="B10" s="6">
        <v>1491779.51</v>
      </c>
      <c r="C10" s="2" t="s">
        <v>22</v>
      </c>
      <c r="D10" t="s">
        <v>23</v>
      </c>
      <c r="F10" s="8" t="s">
        <v>24</v>
      </c>
      <c r="G10">
        <v>880000000</v>
      </c>
      <c r="H10" t="s">
        <v>20</v>
      </c>
    </row>
    <row r="11" spans="1:3">
      <c r="A11" s="4" t="s">
        <v>25</v>
      </c>
      <c r="B11" s="2">
        <v>88796.399</v>
      </c>
      <c r="C11" s="2" t="s">
        <v>22</v>
      </c>
    </row>
    <row r="13" spans="1:3">
      <c r="A13" s="4" t="s">
        <v>26</v>
      </c>
      <c r="B13" s="2">
        <v>-532778.39</v>
      </c>
      <c r="C13" s="2" t="s">
        <v>22</v>
      </c>
    </row>
    <row r="14" spans="1:3">
      <c r="A14" s="4" t="s">
        <v>27</v>
      </c>
      <c r="B14" s="2">
        <v>35518.56</v>
      </c>
      <c r="C14" s="2" t="s">
        <v>22</v>
      </c>
    </row>
    <row r="15" ht="25.8" customHeight="1" spans="1:10">
      <c r="A15" s="10" t="s">
        <v>28</v>
      </c>
      <c r="B15" s="11" t="s">
        <v>29</v>
      </c>
      <c r="C15" s="11"/>
      <c r="D15" s="11" t="s">
        <v>7</v>
      </c>
      <c r="E15" s="11" t="s">
        <v>30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</row>
    <row r="16" spans="1:10">
      <c r="A16" s="4">
        <v>2024</v>
      </c>
      <c r="B16" s="5">
        <v>11.949</v>
      </c>
      <c r="C16" s="12" t="s">
        <v>36</v>
      </c>
      <c r="D16" s="5">
        <v>2780</v>
      </c>
      <c r="E16" s="5">
        <f>B5*B16</f>
        <v>680.49555</v>
      </c>
      <c r="F16" s="5">
        <v>4.5</v>
      </c>
      <c r="G16" s="5">
        <f>E16*D16</f>
        <v>1891777.629</v>
      </c>
      <c r="H16" s="5">
        <f>G16*F16</f>
        <v>8512999.3305</v>
      </c>
      <c r="I16" s="5">
        <f>H16/G16</f>
        <v>4.5</v>
      </c>
      <c r="J16" s="5">
        <f>345/G16</f>
        <v>0.000182368157182601</v>
      </c>
    </row>
    <row r="17" hidden="1" spans="1:10">
      <c r="A17" s="4"/>
      <c r="B17" s="5"/>
      <c r="C17" s="12"/>
      <c r="D17" s="5"/>
      <c r="E17" s="5"/>
      <c r="F17" s="5"/>
      <c r="G17" s="5"/>
      <c r="H17" s="5"/>
      <c r="I17" s="5" t="e">
        <f t="shared" ref="I17:I20" si="0">H17/G17</f>
        <v>#DIV/0!</v>
      </c>
      <c r="J17" s="5"/>
    </row>
    <row r="18" hidden="1" spans="1:10">
      <c r="A18" s="2"/>
      <c r="B18" s="5"/>
      <c r="C18" s="12"/>
      <c r="D18" s="5"/>
      <c r="E18" s="5"/>
      <c r="F18" s="5"/>
      <c r="G18" s="5"/>
      <c r="H18" s="5"/>
      <c r="I18" s="5" t="e">
        <f t="shared" si="0"/>
        <v>#DIV/0!</v>
      </c>
      <c r="J18" s="5"/>
    </row>
    <row r="19" s="1" customFormat="1" spans="1:10">
      <c r="A19" s="13">
        <v>7075</v>
      </c>
      <c r="B19" s="14">
        <v>8.193</v>
      </c>
      <c r="C19" s="15" t="s">
        <v>36</v>
      </c>
      <c r="D19" s="14">
        <v>2810</v>
      </c>
      <c r="E19" s="14">
        <f>B19*B5</f>
        <v>466.59135</v>
      </c>
      <c r="F19" s="14">
        <v>5.2</v>
      </c>
      <c r="G19" s="14">
        <f>E19*D19</f>
        <v>1311121.6935</v>
      </c>
      <c r="H19" s="14">
        <f>F19*G19</f>
        <v>6817832.8062</v>
      </c>
      <c r="I19" s="14">
        <f t="shared" si="0"/>
        <v>5.2</v>
      </c>
      <c r="J19" s="14">
        <f>503/G19</f>
        <v>0.000383640971310037</v>
      </c>
    </row>
    <row r="20" spans="1:10">
      <c r="A20" s="4" t="s">
        <v>37</v>
      </c>
      <c r="B20" s="5">
        <v>4.683</v>
      </c>
      <c r="C20" s="12" t="s">
        <v>36</v>
      </c>
      <c r="D20" s="5">
        <v>4430</v>
      </c>
      <c r="E20" s="5">
        <f>B20*B5</f>
        <v>266.69685</v>
      </c>
      <c r="F20" s="5">
        <v>40</v>
      </c>
      <c r="G20" s="5">
        <f>E20*D20</f>
        <v>1181467.0455</v>
      </c>
      <c r="H20" s="5">
        <f>F20*G20</f>
        <v>47258681.82</v>
      </c>
      <c r="I20" s="5">
        <f t="shared" si="0"/>
        <v>40</v>
      </c>
      <c r="J20" s="5">
        <f>880/G20</f>
        <v>0.000744836687025478</v>
      </c>
    </row>
    <row r="21" spans="3:3">
      <c r="C21" s="16"/>
    </row>
    <row r="22" hidden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Akram</dc:creator>
  <cp:lastModifiedBy>ybaig</cp:lastModifiedBy>
  <dcterms:created xsi:type="dcterms:W3CDTF">2015-06-05T18:17:00Z</dcterms:created>
  <dcterms:modified xsi:type="dcterms:W3CDTF">2026-03-30T02:38:07Z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1D44B51600334820923D52C09F65184A_13</vt:lpwstr>
  </property>
  <property fmtid="{D5CDD505-2E9C-101B-9397-08002B2CF9AE}" pid="3" name="KSOProductBuildVer">
    <vt:lpwstr>1033-12.2.0.23197</vt:lpwstr>
  </property>
</Properties>
</file>